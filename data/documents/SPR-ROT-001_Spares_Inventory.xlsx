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s" sheetId="1" state="visible" r:id="rId1"/>
    <sheet xmlns:r="http://schemas.openxmlformats.org/officeDocument/2006/relationships" name="Procurement Ri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B3D5C"/>
      <sz val="12"/>
    </font>
    <font>
      <color rgb="00555555"/>
      <sz val="8"/>
    </font>
    <font>
      <i val="1"/>
      <color rgb="008A1C1C"/>
      <sz val="7"/>
    </font>
    <font>
      <b val="1"/>
      <color rgb="000B3D5C"/>
      <sz val="9"/>
    </font>
    <font>
      <sz val="9"/>
    </font>
    <font>
      <i val="1"/>
      <sz val="8"/>
    </font>
  </fonts>
  <fills count="6">
    <fill>
      <patternFill/>
    </fill>
    <fill>
      <patternFill patternType="gray125"/>
    </fill>
    <fill>
      <patternFill patternType="solid">
        <fgColor rgb="00DCE6EF"/>
      </patternFill>
    </fill>
    <fill>
      <patternFill patternType="solid">
        <fgColor rgb="00F8CBAD"/>
      </patternFill>
    </fill>
    <fill>
      <patternFill patternType="solid">
        <fgColor rgb="00D9EAD3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3" fontId="5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3" fontId="5" fillId="0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/>
    </xf>
    <xf numFmtId="3" fontId="5" fillId="5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7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4" customWidth="1" min="10" max="10"/>
    <col width="14" customWidth="1" min="11" max="11"/>
    <col width="11" customWidth="1" min="12" max="12"/>
    <col width="16" customWidth="1" min="13" max="13"/>
  </cols>
  <sheetData>
    <row r="1">
      <c r="A1" s="1" t="inlineStr">
        <is>
          <t>MRPL  -  Rotating Equipment Critical Spares Inventory</t>
        </is>
      </c>
    </row>
    <row r="2">
      <c r="A2" s="2" t="inlineStr">
        <is>
          <t>Mangalore Refinery and Petrochemicals Limited | Katipalla, Mangaluru, Karnataka | Crude Distillation Unit - 2   |   Document: SPR-ROT-001   |   Stock position as at 2026-09-03</t>
        </is>
      </c>
    </row>
    <row r="3">
      <c r="A3" s="3" t="inlineStr">
        <is>
          <t>CONFIDENTIAL - INTERNAL USE ONLY  -  SYNTHETIC DOCUMENT - generated for SIH26117 prototype evaluation. Not an actual MRPL record.</t>
        </is>
      </c>
    </row>
    <row r="5" ht="30" customHeight="1">
      <c r="A5" s="4" t="inlineStr">
        <is>
          <t>Part Number</t>
        </is>
      </c>
      <c r="B5" s="4" t="inlineStr">
        <is>
          <t>Description</t>
        </is>
      </c>
      <c r="C5" s="4" t="inlineStr">
        <is>
          <t>UoM</t>
        </is>
      </c>
      <c r="D5" s="4" t="inlineStr">
        <is>
          <t>On Hand</t>
        </is>
      </c>
      <c r="E5" s="4" t="inlineStr">
        <is>
          <t>Min Level</t>
        </is>
      </c>
      <c r="F5" s="4" t="inlineStr">
        <is>
          <t>Max Level</t>
        </is>
      </c>
      <c r="G5" s="4" t="inlineStr">
        <is>
          <t>Below Min?</t>
        </is>
      </c>
      <c r="H5" s="4" t="inlineStr">
        <is>
          <t>Shortfall</t>
        </is>
      </c>
      <c r="I5" s="4" t="inlineStr">
        <is>
          <t>Lead Time (days)</t>
        </is>
      </c>
      <c r="J5" s="4" t="inlineStr">
        <is>
          <t>Vendor</t>
        </is>
      </c>
      <c r="K5" s="4" t="inlineStr">
        <is>
          <t>Unit Cost (INR)</t>
        </is>
      </c>
      <c r="L5" s="4" t="inlineStr">
        <is>
          <t>Criticality</t>
        </is>
      </c>
      <c r="M5" s="4" t="inlineStr">
        <is>
          <t>Applies To</t>
        </is>
      </c>
    </row>
    <row r="6">
      <c r="A6" s="5" t="inlineStr">
        <is>
          <t>SK-682-2104</t>
        </is>
      </c>
      <c r="B6" s="6" t="inlineStr">
        <is>
          <t>Cartridge mech seal kit, API 682 Cat 1 Arr 1, 65 mm shaft</t>
        </is>
      </c>
      <c r="C6" s="7" t="inlineStr">
        <is>
          <t>Set</t>
        </is>
      </c>
      <c r="D6" s="7" t="n">
        <v>1</v>
      </c>
      <c r="E6" s="7" t="n">
        <v>2</v>
      </c>
      <c r="F6" s="7" t="n">
        <v>4</v>
      </c>
      <c r="G6" s="7">
        <f>IF(D6&lt;E6,"YES","NO")</f>
        <v/>
      </c>
      <c r="H6" s="7">
        <f>MAX(0,E6-D6)</f>
        <v/>
      </c>
      <c r="I6" s="7" t="n">
        <v>45</v>
      </c>
      <c r="J6" s="5" t="inlineStr">
        <is>
          <t>Flowserve India Pvt Ltd</t>
        </is>
      </c>
      <c r="K6" s="8" t="n">
        <v>412000</v>
      </c>
      <c r="L6" s="7" t="inlineStr">
        <is>
          <t>A</t>
        </is>
      </c>
      <c r="M6" s="5" t="inlineStr">
        <is>
          <t>P-2104A/B</t>
        </is>
      </c>
    </row>
    <row r="7">
      <c r="A7" s="5" t="inlineStr">
        <is>
          <t>SK-682-2104-A3</t>
        </is>
      </c>
      <c r="B7" s="6" t="inlineStr">
        <is>
          <t>Cartridge mech seal kit, API 682 Cat 2 Arr 3 dual pressurised, 65 mm shaft</t>
        </is>
      </c>
      <c r="C7" s="7" t="inlineStr">
        <is>
          <t>Set</t>
        </is>
      </c>
      <c r="D7" s="7" t="n">
        <v>0</v>
      </c>
      <c r="E7" s="7" t="n">
        <v>2</v>
      </c>
      <c r="F7" s="7" t="n">
        <v>4</v>
      </c>
      <c r="G7" s="7">
        <f>IF(D7&lt;E7,"YES","NO")</f>
        <v/>
      </c>
      <c r="H7" s="7">
        <f>MAX(0,E7-D7)</f>
        <v/>
      </c>
      <c r="I7" s="7" t="n">
        <v>45</v>
      </c>
      <c r="J7" s="5" t="inlineStr">
        <is>
          <t>Flowserve India Pvt Ltd</t>
        </is>
      </c>
      <c r="K7" s="8" t="n">
        <v>786000</v>
      </c>
      <c r="L7" s="7" t="inlineStr">
        <is>
          <t>A</t>
        </is>
      </c>
      <c r="M7" s="5" t="inlineStr">
        <is>
          <t>P-2104A/B</t>
        </is>
      </c>
    </row>
    <row r="8">
      <c r="A8" s="5" t="inlineStr">
        <is>
          <t>ACC-53B-09</t>
        </is>
      </c>
      <c r="B8" s="6" t="inlineStr">
        <is>
          <t>Bladder accumulator, Plan 53B, 8 litre, 40 bar</t>
        </is>
      </c>
      <c r="C8" s="7" t="inlineStr">
        <is>
          <t>No</t>
        </is>
      </c>
      <c r="D8" s="7" t="n">
        <v>0</v>
      </c>
      <c r="E8" s="7" t="n">
        <v>1</v>
      </c>
      <c r="F8" s="7" t="n">
        <v>2</v>
      </c>
      <c r="G8" s="7">
        <f>IF(D8&lt;E8,"YES","NO")</f>
        <v/>
      </c>
      <c r="H8" s="7">
        <f>MAX(0,E8-D8)</f>
        <v/>
      </c>
      <c r="I8" s="7" t="n">
        <v>60</v>
      </c>
      <c r="J8" s="5" t="inlineStr">
        <is>
          <t>Hydac India</t>
        </is>
      </c>
      <c r="K8" s="8" t="n">
        <v>293000</v>
      </c>
      <c r="L8" s="7" t="inlineStr">
        <is>
          <t>A</t>
        </is>
      </c>
      <c r="M8" s="5" t="inlineStr">
        <is>
          <t>P-2104A/B</t>
        </is>
      </c>
    </row>
    <row r="9">
      <c r="A9" s="9" t="inlineStr">
        <is>
          <t>BRG-7314-BECBM</t>
        </is>
      </c>
      <c r="B9" s="10" t="inlineStr">
        <is>
          <t>Angular contact thrust bearing pair 7314 BECBM</t>
        </is>
      </c>
      <c r="C9" s="11" t="inlineStr">
        <is>
          <t>Pair</t>
        </is>
      </c>
      <c r="D9" s="12" t="n">
        <v>3</v>
      </c>
      <c r="E9" s="11" t="n">
        <v>2</v>
      </c>
      <c r="F9" s="11" t="n">
        <v>6</v>
      </c>
      <c r="G9" s="11">
        <f>IF(D9&lt;E9,"YES","NO")</f>
        <v/>
      </c>
      <c r="H9" s="11">
        <f>MAX(0,E9-D9)</f>
        <v/>
      </c>
      <c r="I9" s="11" t="n">
        <v>21</v>
      </c>
      <c r="J9" s="9" t="inlineStr">
        <is>
          <t>SKF India</t>
        </is>
      </c>
      <c r="K9" s="13" t="n">
        <v>48500</v>
      </c>
      <c r="L9" s="11" t="inlineStr">
        <is>
          <t>A</t>
        </is>
      </c>
      <c r="M9" s="9" t="inlineStr">
        <is>
          <t>P-2104A/B</t>
        </is>
      </c>
    </row>
    <row r="10">
      <c r="A10" s="14" t="inlineStr">
        <is>
          <t>CPL-RFLEX-250</t>
        </is>
      </c>
      <c r="B10" s="15" t="inlineStr">
        <is>
          <t>Disc pack flexible coupling element, 250 kW class</t>
        </is>
      </c>
      <c r="C10" s="16" t="inlineStr">
        <is>
          <t>No</t>
        </is>
      </c>
      <c r="D10" s="16" t="n">
        <v>2</v>
      </c>
      <c r="E10" s="16" t="n">
        <v>2</v>
      </c>
      <c r="F10" s="16" t="n">
        <v>4</v>
      </c>
      <c r="G10" s="16">
        <f>IF(D10&lt;E10,"YES","NO")</f>
        <v/>
      </c>
      <c r="H10" s="16">
        <f>MAX(0,E10-D10)</f>
        <v/>
      </c>
      <c r="I10" s="16" t="n">
        <v>30</v>
      </c>
      <c r="J10" s="14" t="inlineStr">
        <is>
          <t>Rathi Couplings</t>
        </is>
      </c>
      <c r="K10" s="17" t="n">
        <v>61200</v>
      </c>
      <c r="L10" s="16" t="inlineStr">
        <is>
          <t>B</t>
        </is>
      </c>
      <c r="M10" s="14" t="inlineStr">
        <is>
          <t>P-2104A/B</t>
        </is>
      </c>
    </row>
    <row r="11">
      <c r="A11" s="9" t="inlineStr">
        <is>
          <t>GSK-SPW-6-300</t>
        </is>
      </c>
      <c r="B11" s="10" t="inlineStr">
        <is>
          <t>Spiral wound gasket, 6 in, CL300, SS316/graphite</t>
        </is>
      </c>
      <c r="C11" s="11" t="inlineStr">
        <is>
          <t>No</t>
        </is>
      </c>
      <c r="D11" s="12" t="n">
        <v>24</v>
      </c>
      <c r="E11" s="11" t="n">
        <v>12</v>
      </c>
      <c r="F11" s="11" t="n">
        <v>40</v>
      </c>
      <c r="G11" s="11">
        <f>IF(D11&lt;E11,"YES","NO")</f>
        <v/>
      </c>
      <c r="H11" s="11">
        <f>MAX(0,E11-D11)</f>
        <v/>
      </c>
      <c r="I11" s="11" t="n">
        <v>14</v>
      </c>
      <c r="J11" s="9" t="inlineStr">
        <is>
          <t>Champion Seals</t>
        </is>
      </c>
      <c r="K11" s="13" t="n">
        <v>1850</v>
      </c>
      <c r="L11" s="11" t="inlineStr">
        <is>
          <t>C</t>
        </is>
      </c>
      <c r="M11" s="9" t="inlineStr">
        <is>
          <t>CDU-2 general</t>
        </is>
      </c>
    </row>
    <row r="12">
      <c r="A12" s="14" t="inlineStr">
        <is>
          <t>SK-682-2101</t>
        </is>
      </c>
      <c r="B12" s="15" t="inlineStr">
        <is>
          <t>Cartridge mech seal kit, API 682 Cat 2 Arr 2, 80 mm shaft</t>
        </is>
      </c>
      <c r="C12" s="16" t="inlineStr">
        <is>
          <t>Set</t>
        </is>
      </c>
      <c r="D12" s="16" t="n">
        <v>2</v>
      </c>
      <c r="E12" s="16" t="n">
        <v>2</v>
      </c>
      <c r="F12" s="16" t="n">
        <v>4</v>
      </c>
      <c r="G12" s="16">
        <f>IF(D12&lt;E12,"YES","NO")</f>
        <v/>
      </c>
      <c r="H12" s="16">
        <f>MAX(0,E12-D12)</f>
        <v/>
      </c>
      <c r="I12" s="16" t="n">
        <v>45</v>
      </c>
      <c r="J12" s="14" t="inlineStr">
        <is>
          <t>Flowserve India Pvt Ltd</t>
        </is>
      </c>
      <c r="K12" s="17" t="n">
        <v>528000</v>
      </c>
      <c r="L12" s="16" t="inlineStr">
        <is>
          <t>A</t>
        </is>
      </c>
      <c r="M12" s="14" t="inlineStr">
        <is>
          <t>P-2101A/B</t>
        </is>
      </c>
    </row>
    <row r="13">
      <c r="A13" s="9" t="inlineStr">
        <is>
          <t>BRG-6316-C3</t>
        </is>
      </c>
      <c r="B13" s="10" t="inlineStr">
        <is>
          <t>Deep groove ball bearing 6316 C3</t>
        </is>
      </c>
      <c r="C13" s="11" t="inlineStr">
        <is>
          <t>No</t>
        </is>
      </c>
      <c r="D13" s="12" t="n">
        <v>6</v>
      </c>
      <c r="E13" s="11" t="n">
        <v>4</v>
      </c>
      <c r="F13" s="11" t="n">
        <v>10</v>
      </c>
      <c r="G13" s="11">
        <f>IF(D13&lt;E13,"YES","NO")</f>
        <v/>
      </c>
      <c r="H13" s="11">
        <f>MAX(0,E13-D13)</f>
        <v/>
      </c>
      <c r="I13" s="11" t="n">
        <v>14</v>
      </c>
      <c r="J13" s="9" t="inlineStr">
        <is>
          <t>SKF India</t>
        </is>
      </c>
      <c r="K13" s="13" t="n">
        <v>12400</v>
      </c>
      <c r="L13" s="11" t="inlineStr">
        <is>
          <t>B</t>
        </is>
      </c>
      <c r="M13" s="9" t="inlineStr">
        <is>
          <t>CDU-2 general</t>
        </is>
      </c>
    </row>
    <row r="14">
      <c r="A14" s="14" t="inlineStr">
        <is>
          <t>PSV-TRIM-1.5J2</t>
        </is>
      </c>
      <c r="B14" s="15" t="inlineStr">
        <is>
          <t>PSV trim kit, 1.5J2, nozzle and disc</t>
        </is>
      </c>
      <c r="C14" s="16" t="inlineStr">
        <is>
          <t>Set</t>
        </is>
      </c>
      <c r="D14" s="16" t="n">
        <v>1</v>
      </c>
      <c r="E14" s="16" t="n">
        <v>1</v>
      </c>
      <c r="F14" s="16" t="n">
        <v>2</v>
      </c>
      <c r="G14" s="16">
        <f>IF(D14&lt;E14,"YES","NO")</f>
        <v/>
      </c>
      <c r="H14" s="16">
        <f>MAX(0,E14-D14)</f>
        <v/>
      </c>
      <c r="I14" s="16" t="n">
        <v>90</v>
      </c>
      <c r="J14" s="14" t="inlineStr">
        <is>
          <t>Anderson Greenwood</t>
        </is>
      </c>
      <c r="K14" s="17" t="n">
        <v>214000</v>
      </c>
      <c r="L14" s="16" t="inlineStr">
        <is>
          <t>A</t>
        </is>
      </c>
      <c r="M14" s="14" t="inlineStr">
        <is>
          <t>PSV-2141</t>
        </is>
      </c>
    </row>
    <row r="15">
      <c r="A15" s="9" t="inlineStr">
        <is>
          <t>OIL-ISO-VG68</t>
        </is>
      </c>
      <c r="B15" s="10" t="inlineStr">
        <is>
          <t>Turbine oil ISO VG 68, 210 litre barrel</t>
        </is>
      </c>
      <c r="C15" s="11" t="inlineStr">
        <is>
          <t>Barrel</t>
        </is>
      </c>
      <c r="D15" s="12" t="n">
        <v>5</v>
      </c>
      <c r="E15" s="11" t="n">
        <v>3</v>
      </c>
      <c r="F15" s="11" t="n">
        <v>8</v>
      </c>
      <c r="G15" s="11">
        <f>IF(D15&lt;E15,"YES","NO")</f>
        <v/>
      </c>
      <c r="H15" s="11">
        <f>MAX(0,E15-D15)</f>
        <v/>
      </c>
      <c r="I15" s="11" t="n">
        <v>7</v>
      </c>
      <c r="J15" s="9" t="inlineStr">
        <is>
          <t>Indian Oil Corporation</t>
        </is>
      </c>
      <c r="K15" s="13" t="n">
        <v>38900</v>
      </c>
      <c r="L15" s="11" t="inlineStr">
        <is>
          <t>C</t>
        </is>
      </c>
      <c r="M15" s="9" t="inlineStr">
        <is>
          <t>CDU-2 general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0" customWidth="1" min="3" max="3"/>
    <col width="14" customWidth="1" min="4" max="4"/>
    <col width="16" customWidth="1" min="5" max="5"/>
    <col width="62" customWidth="1" min="6" max="6"/>
  </cols>
  <sheetData>
    <row r="1">
      <c r="A1" s="1" t="inlineStr">
        <is>
          <t>MRPL  -  Criticality A Items Below Minimum</t>
        </is>
      </c>
    </row>
    <row r="2">
      <c r="A2" s="2" t="inlineStr">
        <is>
          <t>Mangalore Refinery and Petrochemicals Limited | Katipalla, Mangaluru, Karnataka | Crude Distillation Unit - 2   |   Document: SPR-ROT-001</t>
        </is>
      </c>
    </row>
    <row r="3">
      <c r="A3" s="3" t="inlineStr">
        <is>
          <t>CONFIDENTIAL - INTERNAL USE ONLY  -  SYNTHETIC DOCUMENT - generated for SIH26117 prototype evaluation. Not an actual MRPL record.</t>
        </is>
      </c>
    </row>
    <row r="5" ht="30" customHeight="1">
      <c r="A5" s="4" t="inlineStr">
        <is>
          <t>Part Number</t>
        </is>
      </c>
      <c r="B5" s="4" t="inlineStr">
        <is>
          <t>Description</t>
        </is>
      </c>
      <c r="C5" s="4" t="inlineStr">
        <is>
          <t>Shortfall</t>
        </is>
      </c>
      <c r="D5" s="4" t="inlineStr">
        <is>
          <t>Lead Time (days)</t>
        </is>
      </c>
      <c r="E5" s="4" t="inlineStr">
        <is>
          <t>Earliest Availability</t>
        </is>
      </c>
      <c r="F5" s="4" t="inlineStr">
        <is>
          <t>Impact</t>
        </is>
      </c>
    </row>
    <row r="6">
      <c r="A6" s="5" t="inlineStr">
        <is>
          <t>SK-682-2104-A3</t>
        </is>
      </c>
      <c r="B6" s="6" t="inlineStr">
        <is>
          <t>Cartridge mech seal kit, API 682 Cat 2 Arr 3 dual pressurised</t>
        </is>
      </c>
      <c r="C6" s="7" t="n">
        <v>2</v>
      </c>
      <c r="D6" s="7" t="n">
        <v>45</v>
      </c>
      <c r="E6" s="7" t="inlineStr">
        <is>
          <t>2026-10-16</t>
        </is>
      </c>
      <c r="F6" s="6" t="inlineStr">
        <is>
          <t>BLOCKS MOC-2026-0087. Target completion 2026-10-15 is at risk. This is the primary corrective action from INC-2026-0042.</t>
        </is>
      </c>
    </row>
    <row r="7">
      <c r="A7" s="5" t="inlineStr">
        <is>
          <t>ACC-53B-09</t>
        </is>
      </c>
      <c r="B7" s="6" t="inlineStr">
        <is>
          <t>Bladder accumulator, Plan 53B, 8 litre, 40 bar</t>
        </is>
      </c>
      <c r="C7" s="7" t="n">
        <v>1</v>
      </c>
      <c r="D7" s="7" t="n">
        <v>60</v>
      </c>
      <c r="E7" s="7" t="inlineStr">
        <is>
          <t>2026-10-31</t>
        </is>
      </c>
      <c r="F7" s="6" t="inlineStr">
        <is>
          <t>BLOCKS MOC-2026-0087. Longest lead item in the change.</t>
        </is>
      </c>
    </row>
    <row r="8">
      <c r="A8" s="5" t="inlineStr">
        <is>
          <t>SK-682-2104</t>
        </is>
      </c>
      <c r="B8" s="6" t="inlineStr">
        <is>
          <t>Cartridge mech seal kit, API 682 Cat 1 Arr 1 (existing type)</t>
        </is>
      </c>
      <c r="C8" s="7" t="n">
        <v>1</v>
      </c>
      <c r="D8" s="7" t="n">
        <v>45</v>
      </c>
      <c r="E8" s="7" t="inlineStr">
        <is>
          <t>2026-10-16</t>
        </is>
      </c>
      <c r="F8" s="6" t="inlineStr">
        <is>
          <t>One kit consumed by WO-26-15118 on 2026-08-29. Site now holds 1 against a minimum of 2, contrary to ENG-STD-SUMM-119 clause 6.1. No spare cover if the second pump fails.</t>
        </is>
      </c>
    </row>
    <row r="10">
      <c r="A10" s="18" t="inlineStr">
        <is>
          <t>Note: earliest availability assumes a purchase order placed on 2026-09-01 and no expediting.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2026-09-08T05:12:13Z</dcterms:created>
  <dcterms:modified xmlns:dcterms="http://purl.org/dc/terms/" xmlns:xsi="http://www.w3.org/2001/XMLSchema-instance" xsi:type="dcterms:W3CDTF">2026-09-08T05:12:13Z</dcterms:modified>
</cp:coreProperties>
</file>