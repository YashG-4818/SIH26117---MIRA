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ation Log" sheetId="1" state="visible" r:id="rId1"/>
    <sheet xmlns:r="http://schemas.openxmlformats.org/officeDocument/2006/relationships" name="Trend P-2104" sheetId="2" state="visible" r:id="rId2"/>
    <sheet xmlns:r="http://schemas.openxmlformats.org/officeDocument/2006/relationships" name="Lim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3D5C"/>
      <sz val="12"/>
    </font>
    <font>
      <color rgb="00555555"/>
      <sz val="8"/>
    </font>
    <font>
      <i val="1"/>
      <color rgb="008A1C1C"/>
      <sz val="7"/>
    </font>
    <font>
      <b val="1"/>
      <color rgb="000B3D5C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CE6E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CDU-2 Column Bottoms Pump Vibration Trend 2026</a:t>
            </a:r>
          </a:p>
        </rich>
      </tx>
    </title>
    <plotArea>
      <lineChart>
        <grouping val="standard"/>
        <ser>
          <idx val="0"/>
          <order val="0"/>
          <tx>
            <strRef>
              <f>'Trend P-2104'!B5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P-2104'!$A$6:$A$13</f>
            </numRef>
          </cat>
          <val>
            <numRef>
              <f>'Trend P-2104'!$B$6:$B$13</f>
            </numRef>
          </val>
        </ser>
        <ser>
          <idx val="1"/>
          <order val="1"/>
          <tx>
            <strRef>
              <f>'Trend P-2104'!C5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P-2104'!$A$6:$A$13</f>
            </numRef>
          </cat>
          <val>
            <numRef>
              <f>'Trend P-2104'!$C$6:$C$13</f>
            </numRef>
          </val>
        </ser>
        <ser>
          <idx val="2"/>
          <order val="2"/>
          <tx>
            <strRef>
              <f>'Trend P-2104'!D5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P-2104'!$A$6:$A$13</f>
            </numRef>
          </cat>
          <val>
            <numRef>
              <f>'Trend P-2104'!$D$6:$D$13</f>
            </numRef>
          </val>
        </ser>
        <ser>
          <idx val="3"/>
          <order val="3"/>
          <tx>
            <strRef>
              <f>'Trend P-2104'!E5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P-2104'!$A$6:$A$13</f>
            </numRef>
          </cat>
          <val>
            <numRef>
              <f>'Trend P-2104'!$E$6:$E$13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Overall velocity mm/s RMS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5" customWidth="1" min="4" max="4"/>
    <col width="12" customWidth="1" min="5" max="5"/>
    <col width="12" customWidth="1" min="6" max="6"/>
    <col width="13" customWidth="1" min="7" max="7"/>
    <col width="58" customWidth="1" min="8" max="8"/>
  </cols>
  <sheetData>
    <row r="1">
      <c r="A1" s="1" t="inlineStr">
        <is>
          <t>MRPL  -  CDU-2 Rotating Equipment Vibration and Bearing Temperature Log</t>
        </is>
      </c>
    </row>
    <row r="2">
      <c r="A2" s="2" t="inlineStr">
        <is>
          <t>Mangalore Refinery and Petrochemicals Limited | Katipalla, Mangaluru, Karnataka | Crude Distillation Unit - 2   |   Document: VIB-CDU2-2026   |   Limits per ISO 10816-3, Group 1, rigid mounting</t>
        </is>
      </c>
    </row>
    <row r="3">
      <c r="A3" s="3" t="inlineStr">
        <is>
          <t>CONFIDENTIAL - INTERNAL USE ONLY  -  SYNTHETIC DOCUMENT - generated for SIH26117 prototype evaluation. Not an actual MRPL record.</t>
        </is>
      </c>
    </row>
    <row r="5" ht="30" customHeight="1">
      <c r="A5" s="4" t="inlineStr">
        <is>
          <t>Month</t>
        </is>
      </c>
      <c r="B5" s="4" t="inlineStr">
        <is>
          <t>Equipment Tag</t>
        </is>
      </c>
      <c r="C5" s="4" t="inlineStr">
        <is>
          <t>Description</t>
        </is>
      </c>
      <c r="D5" s="4" t="inlineStr">
        <is>
          <t>Overall Vibration (mm/s RMS)</t>
        </is>
      </c>
      <c r="E5" s="4" t="inlineStr">
        <is>
          <t>Alert Limit (mm/s)</t>
        </is>
      </c>
      <c r="F5" s="4" t="inlineStr">
        <is>
          <t>Trip Limit (mm/s)</t>
        </is>
      </c>
      <c r="G5" s="4" t="inlineStr">
        <is>
          <t>Bearing Temp (degC)</t>
        </is>
      </c>
      <c r="H5" s="4" t="inlineStr">
        <is>
          <t>Status / Remark</t>
        </is>
      </c>
    </row>
    <row r="6">
      <c r="A6" s="5" t="inlineStr">
        <is>
          <t>2026-01</t>
        </is>
      </c>
      <c r="B6" s="5" t="inlineStr">
        <is>
          <t>P-2104B</t>
        </is>
      </c>
      <c r="C6" s="5" t="inlineStr">
        <is>
          <t>CDU-2 Column Bottoms (RCO) Pump - B</t>
        </is>
      </c>
      <c r="D6" s="6" t="n">
        <v>3.9</v>
      </c>
      <c r="E6" s="6" t="n">
        <v>7.1</v>
      </c>
      <c r="F6" s="6" t="n">
        <v>11</v>
      </c>
      <c r="G6" s="6" t="n">
        <v>68</v>
      </c>
      <c r="H6" s="7" t="inlineStr">
        <is>
          <t>Normal</t>
        </is>
      </c>
    </row>
    <row r="7">
      <c r="A7" s="5" t="inlineStr">
        <is>
          <t>2026-02</t>
        </is>
      </c>
      <c r="B7" s="5" t="inlineStr">
        <is>
          <t>P-2104B</t>
        </is>
      </c>
      <c r="C7" s="5" t="inlineStr">
        <is>
          <t>CDU-2 Column Bottoms (RCO) Pump - B</t>
        </is>
      </c>
      <c r="D7" s="6" t="n">
        <v>4</v>
      </c>
      <c r="E7" s="6" t="n">
        <v>7.1</v>
      </c>
      <c r="F7" s="6" t="n">
        <v>11</v>
      </c>
      <c r="G7" s="6" t="n">
        <v>69</v>
      </c>
      <c r="H7" s="7" t="inlineStr">
        <is>
          <t>Normal</t>
        </is>
      </c>
    </row>
    <row r="8">
      <c r="A8" s="5" t="inlineStr">
        <is>
          <t>2026-03</t>
        </is>
      </c>
      <c r="B8" s="5" t="inlineStr">
        <is>
          <t>P-2104B</t>
        </is>
      </c>
      <c r="C8" s="5" t="inlineStr">
        <is>
          <t>CDU-2 Column Bottoms (RCO) Pump - B</t>
        </is>
      </c>
      <c r="D8" s="6" t="n">
        <v>4.1</v>
      </c>
      <c r="E8" s="6" t="n">
        <v>7.1</v>
      </c>
      <c r="F8" s="6" t="n">
        <v>11</v>
      </c>
      <c r="G8" s="6" t="n">
        <v>70</v>
      </c>
      <c r="H8" s="7" t="inlineStr">
        <is>
          <t>Normal</t>
        </is>
      </c>
    </row>
    <row r="9">
      <c r="A9" s="5" t="inlineStr">
        <is>
          <t>2026-04</t>
        </is>
      </c>
      <c r="B9" s="5" t="inlineStr">
        <is>
          <t>P-2104B</t>
        </is>
      </c>
      <c r="C9" s="5" t="inlineStr">
        <is>
          <t>CDU-2 Column Bottoms (RCO) Pump - B</t>
        </is>
      </c>
      <c r="D9" s="6" t="n">
        <v>4.6</v>
      </c>
      <c r="E9" s="6" t="n">
        <v>7.1</v>
      </c>
      <c r="F9" s="6" t="n">
        <v>11</v>
      </c>
      <c r="G9" s="6" t="n">
        <v>72</v>
      </c>
      <c r="H9" s="7" t="inlineStr">
        <is>
          <t>Above normal band - increase monitoring frequency</t>
        </is>
      </c>
    </row>
    <row r="10">
      <c r="A10" s="5" t="inlineStr">
        <is>
          <t>2026-05</t>
        </is>
      </c>
      <c r="B10" s="5" t="inlineStr">
        <is>
          <t>P-2104B</t>
        </is>
      </c>
      <c r="C10" s="5" t="inlineStr">
        <is>
          <t>CDU-2 Column Bottoms (RCO) Pump - B</t>
        </is>
      </c>
      <c r="D10" s="6" t="n">
        <v>5.2</v>
      </c>
      <c r="E10" s="6" t="n">
        <v>7.1</v>
      </c>
      <c r="F10" s="6" t="n">
        <v>11</v>
      </c>
      <c r="G10" s="6" t="n">
        <v>75</v>
      </c>
      <c r="H10" s="7" t="inlineStr">
        <is>
          <t>Above normal band - increase monitoring frequency</t>
        </is>
      </c>
    </row>
    <row r="11">
      <c r="A11" s="5" t="inlineStr">
        <is>
          <t>2026-06</t>
        </is>
      </c>
      <c r="B11" s="5" t="inlineStr">
        <is>
          <t>P-2104B</t>
        </is>
      </c>
      <c r="C11" s="5" t="inlineStr">
        <is>
          <t>CDU-2 Column Bottoms (RCO) Pump - B</t>
        </is>
      </c>
      <c r="D11" s="6" t="n">
        <v>6.4</v>
      </c>
      <c r="E11" s="6" t="n">
        <v>7.1</v>
      </c>
      <c r="F11" s="6" t="n">
        <v>11</v>
      </c>
      <c r="G11" s="6" t="n">
        <v>79</v>
      </c>
      <c r="H11" s="7" t="inlineStr">
        <is>
          <t>Above normal band - increase monitoring frequency</t>
        </is>
      </c>
    </row>
    <row r="12">
      <c r="A12" s="5" t="inlineStr">
        <is>
          <t>2026-07</t>
        </is>
      </c>
      <c r="B12" s="5" t="inlineStr">
        <is>
          <t>P-2104B</t>
        </is>
      </c>
      <c r="C12" s="5" t="inlineStr">
        <is>
          <t>CDU-2 Column Bottoms (RCO) Pump - B</t>
        </is>
      </c>
      <c r="D12" s="6" t="n">
        <v>7.8</v>
      </c>
      <c r="E12" s="6" t="n">
        <v>7.1</v>
      </c>
      <c r="F12" s="6" t="n">
        <v>11</v>
      </c>
      <c r="G12" s="6" t="n">
        <v>86</v>
      </c>
      <c r="H12" s="7" t="inlineStr">
        <is>
          <t>ALERT - corrective work order required within 24 h | Signed off as 'monitor'. No work order raised.</t>
        </is>
      </c>
    </row>
    <row r="13">
      <c r="A13" s="5" t="inlineStr">
        <is>
          <t>2026-08</t>
        </is>
      </c>
      <c r="B13" s="5" t="inlineStr">
        <is>
          <t>P-2104B</t>
        </is>
      </c>
      <c r="C13" s="5" t="inlineStr">
        <is>
          <t>CDU-2 Column Bottoms (RCO) Pump - B</t>
        </is>
      </c>
      <c r="D13" s="6" t="n">
        <v>9.6</v>
      </c>
      <c r="E13" s="6" t="n">
        <v>7.1</v>
      </c>
      <c r="F13" s="6" t="n">
        <v>11</v>
      </c>
      <c r="G13" s="6" t="n">
        <v>91</v>
      </c>
      <c r="H13" s="7" t="inlineStr">
        <is>
          <t>ALERT - corrective work order required within 24 h | Seal failure 2026-08-29, refer INC-2026-0042</t>
        </is>
      </c>
    </row>
    <row r="14">
      <c r="A14" s="5" t="inlineStr">
        <is>
          <t>2026-01</t>
        </is>
      </c>
      <c r="B14" s="5" t="inlineStr">
        <is>
          <t>P-2104A</t>
        </is>
      </c>
      <c r="C14" s="5" t="inlineStr">
        <is>
          <t>CDU-2 Column Bottoms (RCO) Pump - A</t>
        </is>
      </c>
      <c r="D14" s="6" t="n">
        <v>2.8</v>
      </c>
      <c r="E14" s="6" t="n">
        <v>7.1</v>
      </c>
      <c r="F14" s="6" t="n">
        <v>11</v>
      </c>
      <c r="G14" s="6" t="n">
        <v>61</v>
      </c>
      <c r="H14" s="7" t="inlineStr">
        <is>
          <t>Normal</t>
        </is>
      </c>
    </row>
    <row r="15">
      <c r="A15" s="5" t="inlineStr">
        <is>
          <t>2026-02</t>
        </is>
      </c>
      <c r="B15" s="5" t="inlineStr">
        <is>
          <t>P-2104A</t>
        </is>
      </c>
      <c r="C15" s="5" t="inlineStr">
        <is>
          <t>CDU-2 Column Bottoms (RCO) Pump - A</t>
        </is>
      </c>
      <c r="D15" s="6" t="n">
        <v>2.7</v>
      </c>
      <c r="E15" s="6" t="n">
        <v>7.1</v>
      </c>
      <c r="F15" s="6" t="n">
        <v>11</v>
      </c>
      <c r="G15" s="6" t="n">
        <v>60</v>
      </c>
      <c r="H15" s="7" t="inlineStr">
        <is>
          <t>Normal</t>
        </is>
      </c>
    </row>
    <row r="16">
      <c r="A16" s="5" t="inlineStr">
        <is>
          <t>2026-03</t>
        </is>
      </c>
      <c r="B16" s="5" t="inlineStr">
        <is>
          <t>P-2104A</t>
        </is>
      </c>
      <c r="C16" s="5" t="inlineStr">
        <is>
          <t>CDU-2 Column Bottoms (RCO) Pump - A</t>
        </is>
      </c>
      <c r="D16" s="6" t="n">
        <v>2.9</v>
      </c>
      <c r="E16" s="6" t="n">
        <v>7.1</v>
      </c>
      <c r="F16" s="6" t="n">
        <v>11</v>
      </c>
      <c r="G16" s="6" t="n">
        <v>62</v>
      </c>
      <c r="H16" s="7" t="inlineStr">
        <is>
          <t>Normal</t>
        </is>
      </c>
    </row>
    <row r="17">
      <c r="A17" s="5" t="inlineStr">
        <is>
          <t>2026-04</t>
        </is>
      </c>
      <c r="B17" s="5" t="inlineStr">
        <is>
          <t>P-2104A</t>
        </is>
      </c>
      <c r="C17" s="5" t="inlineStr">
        <is>
          <t>CDU-2 Column Bottoms (RCO) Pump - A</t>
        </is>
      </c>
      <c r="D17" s="6" t="n">
        <v>2.8</v>
      </c>
      <c r="E17" s="6" t="n">
        <v>7.1</v>
      </c>
      <c r="F17" s="6" t="n">
        <v>11</v>
      </c>
      <c r="G17" s="6" t="n">
        <v>61</v>
      </c>
      <c r="H17" s="7" t="inlineStr">
        <is>
          <t>Normal</t>
        </is>
      </c>
    </row>
    <row r="18">
      <c r="A18" s="5" t="inlineStr">
        <is>
          <t>2026-05</t>
        </is>
      </c>
      <c r="B18" s="5" t="inlineStr">
        <is>
          <t>P-2104A</t>
        </is>
      </c>
      <c r="C18" s="5" t="inlineStr">
        <is>
          <t>CDU-2 Column Bottoms (RCO) Pump - A</t>
        </is>
      </c>
      <c r="D18" s="6" t="n">
        <v>3</v>
      </c>
      <c r="E18" s="6" t="n">
        <v>7.1</v>
      </c>
      <c r="F18" s="6" t="n">
        <v>11</v>
      </c>
      <c r="G18" s="6" t="n">
        <v>63</v>
      </c>
      <c r="H18" s="7" t="inlineStr">
        <is>
          <t>Normal</t>
        </is>
      </c>
    </row>
    <row r="19">
      <c r="A19" s="5" t="inlineStr">
        <is>
          <t>2026-06</t>
        </is>
      </c>
      <c r="B19" s="5" t="inlineStr">
        <is>
          <t>P-2104A</t>
        </is>
      </c>
      <c r="C19" s="5" t="inlineStr">
        <is>
          <t>CDU-2 Column Bottoms (RCO) Pump - A</t>
        </is>
      </c>
      <c r="D19" s="6" t="n">
        <v>2.9</v>
      </c>
      <c r="E19" s="6" t="n">
        <v>7.1</v>
      </c>
      <c r="F19" s="6" t="n">
        <v>11</v>
      </c>
      <c r="G19" s="6" t="n">
        <v>62</v>
      </c>
      <c r="H19" s="7" t="inlineStr">
        <is>
          <t>Normal</t>
        </is>
      </c>
    </row>
    <row r="20">
      <c r="A20" s="5" t="inlineStr">
        <is>
          <t>2026-07</t>
        </is>
      </c>
      <c r="B20" s="5" t="inlineStr">
        <is>
          <t>P-2104A</t>
        </is>
      </c>
      <c r="C20" s="5" t="inlineStr">
        <is>
          <t>CDU-2 Column Bottoms (RCO) Pump - A</t>
        </is>
      </c>
      <c r="D20" s="6" t="n">
        <v>3.1</v>
      </c>
      <c r="E20" s="6" t="n">
        <v>7.1</v>
      </c>
      <c r="F20" s="6" t="n">
        <v>11</v>
      </c>
      <c r="G20" s="6" t="n">
        <v>64</v>
      </c>
      <c r="H20" s="7" t="inlineStr">
        <is>
          <t>Normal</t>
        </is>
      </c>
    </row>
    <row r="21">
      <c r="A21" s="5" t="inlineStr">
        <is>
          <t>2026-08</t>
        </is>
      </c>
      <c r="B21" s="5" t="inlineStr">
        <is>
          <t>P-2104A</t>
        </is>
      </c>
      <c r="C21" s="5" t="inlineStr">
        <is>
          <t>CDU-2 Column Bottoms (RCO) Pump - A</t>
        </is>
      </c>
      <c r="D21" s="6" t="n">
        <v>3</v>
      </c>
      <c r="E21" s="6" t="n">
        <v>7.1</v>
      </c>
      <c r="F21" s="6" t="n">
        <v>11</v>
      </c>
      <c r="G21" s="6" t="n">
        <v>63</v>
      </c>
      <c r="H21" s="7" t="inlineStr">
        <is>
          <t>Normal</t>
        </is>
      </c>
    </row>
    <row r="22">
      <c r="A22" s="5" t="inlineStr">
        <is>
          <t>2026-01</t>
        </is>
      </c>
      <c r="B22" s="5" t="inlineStr">
        <is>
          <t>P-2101A</t>
        </is>
      </c>
      <c r="C22" s="5" t="inlineStr">
        <is>
          <t>CDU-2 Crude Charge Pump - A</t>
        </is>
      </c>
      <c r="D22" s="6" t="n">
        <v>3.2</v>
      </c>
      <c r="E22" s="6" t="n">
        <v>7.1</v>
      </c>
      <c r="F22" s="6" t="n">
        <v>11</v>
      </c>
      <c r="G22" s="6" t="n">
        <v>58</v>
      </c>
      <c r="H22" s="7" t="inlineStr">
        <is>
          <t>Normal</t>
        </is>
      </c>
    </row>
    <row r="23">
      <c r="A23" s="5" t="inlineStr">
        <is>
          <t>2026-02</t>
        </is>
      </c>
      <c r="B23" s="5" t="inlineStr">
        <is>
          <t>P-2101A</t>
        </is>
      </c>
      <c r="C23" s="5" t="inlineStr">
        <is>
          <t>CDU-2 Crude Charge Pump - A</t>
        </is>
      </c>
      <c r="D23" s="6" t="n">
        <v>3.3</v>
      </c>
      <c r="E23" s="6" t="n">
        <v>7.1</v>
      </c>
      <c r="F23" s="6" t="n">
        <v>11</v>
      </c>
      <c r="G23" s="6" t="n">
        <v>59</v>
      </c>
      <c r="H23" s="7" t="inlineStr">
        <is>
          <t>Normal</t>
        </is>
      </c>
    </row>
    <row r="24">
      <c r="A24" s="5" t="inlineStr">
        <is>
          <t>2026-03</t>
        </is>
      </c>
      <c r="B24" s="5" t="inlineStr">
        <is>
          <t>P-2101A</t>
        </is>
      </c>
      <c r="C24" s="5" t="inlineStr">
        <is>
          <t>CDU-2 Crude Charge Pump - A</t>
        </is>
      </c>
      <c r="D24" s="6" t="n">
        <v>3.1</v>
      </c>
      <c r="E24" s="6" t="n">
        <v>7.1</v>
      </c>
      <c r="F24" s="6" t="n">
        <v>11</v>
      </c>
      <c r="G24" s="6" t="n">
        <v>58</v>
      </c>
      <c r="H24" s="7" t="inlineStr">
        <is>
          <t>Normal</t>
        </is>
      </c>
    </row>
    <row r="25">
      <c r="A25" s="5" t="inlineStr">
        <is>
          <t>2026-04</t>
        </is>
      </c>
      <c r="B25" s="5" t="inlineStr">
        <is>
          <t>P-2101A</t>
        </is>
      </c>
      <c r="C25" s="5" t="inlineStr">
        <is>
          <t>CDU-2 Crude Charge Pump - A</t>
        </is>
      </c>
      <c r="D25" s="6" t="n">
        <v>3.4</v>
      </c>
      <c r="E25" s="6" t="n">
        <v>7.1</v>
      </c>
      <c r="F25" s="6" t="n">
        <v>11</v>
      </c>
      <c r="G25" s="6" t="n">
        <v>60</v>
      </c>
      <c r="H25" s="7" t="inlineStr">
        <is>
          <t>Normal</t>
        </is>
      </c>
    </row>
    <row r="26">
      <c r="A26" s="5" t="inlineStr">
        <is>
          <t>2026-05</t>
        </is>
      </c>
      <c r="B26" s="5" t="inlineStr">
        <is>
          <t>P-2101A</t>
        </is>
      </c>
      <c r="C26" s="5" t="inlineStr">
        <is>
          <t>CDU-2 Crude Charge Pump - A</t>
        </is>
      </c>
      <c r="D26" s="6" t="n">
        <v>3.5</v>
      </c>
      <c r="E26" s="6" t="n">
        <v>7.1</v>
      </c>
      <c r="F26" s="6" t="n">
        <v>11</v>
      </c>
      <c r="G26" s="6" t="n">
        <v>61</v>
      </c>
      <c r="H26" s="7" t="inlineStr">
        <is>
          <t>Normal</t>
        </is>
      </c>
    </row>
    <row r="27">
      <c r="A27" s="5" t="inlineStr">
        <is>
          <t>2026-06</t>
        </is>
      </c>
      <c r="B27" s="5" t="inlineStr">
        <is>
          <t>P-2101A</t>
        </is>
      </c>
      <c r="C27" s="5" t="inlineStr">
        <is>
          <t>CDU-2 Crude Charge Pump - A</t>
        </is>
      </c>
      <c r="D27" s="6" t="n">
        <v>3.3</v>
      </c>
      <c r="E27" s="6" t="n">
        <v>7.1</v>
      </c>
      <c r="F27" s="6" t="n">
        <v>11</v>
      </c>
      <c r="G27" s="6" t="n">
        <v>60</v>
      </c>
      <c r="H27" s="7" t="inlineStr">
        <is>
          <t>Normal</t>
        </is>
      </c>
    </row>
    <row r="28">
      <c r="A28" s="5" t="inlineStr">
        <is>
          <t>2026-07</t>
        </is>
      </c>
      <c r="B28" s="5" t="inlineStr">
        <is>
          <t>P-2101A</t>
        </is>
      </c>
      <c r="C28" s="5" t="inlineStr">
        <is>
          <t>CDU-2 Crude Charge Pump - A</t>
        </is>
      </c>
      <c r="D28" s="6" t="n">
        <v>3.6</v>
      </c>
      <c r="E28" s="6" t="n">
        <v>7.1</v>
      </c>
      <c r="F28" s="6" t="n">
        <v>11</v>
      </c>
      <c r="G28" s="6" t="n">
        <v>62</v>
      </c>
      <c r="H28" s="7" t="inlineStr">
        <is>
          <t>Normal</t>
        </is>
      </c>
    </row>
    <row r="29">
      <c r="A29" s="5" t="inlineStr">
        <is>
          <t>2026-08</t>
        </is>
      </c>
      <c r="B29" s="5" t="inlineStr">
        <is>
          <t>P-2101A</t>
        </is>
      </c>
      <c r="C29" s="5" t="inlineStr">
        <is>
          <t>CDU-2 Crude Charge Pump - A</t>
        </is>
      </c>
      <c r="D29" s="6" t="n">
        <v>3.8</v>
      </c>
      <c r="E29" s="6" t="n">
        <v>7.1</v>
      </c>
      <c r="F29" s="6" t="n">
        <v>11</v>
      </c>
      <c r="G29" s="6" t="n">
        <v>64</v>
      </c>
      <c r="H29" s="7" t="inlineStr">
        <is>
          <t>Normal</t>
        </is>
      </c>
    </row>
    <row r="30">
      <c r="A30" s="5" t="inlineStr">
        <is>
          <t>2026-01</t>
        </is>
      </c>
      <c r="B30" s="5" t="inlineStr">
        <is>
          <t>P-2101B</t>
        </is>
      </c>
      <c r="C30" s="5" t="inlineStr">
        <is>
          <t>CDU-2 Crude Charge Pump - B</t>
        </is>
      </c>
      <c r="D30" s="6" t="n">
        <v>2.5</v>
      </c>
      <c r="E30" s="6" t="n">
        <v>7.1</v>
      </c>
      <c r="F30" s="6" t="n">
        <v>11</v>
      </c>
      <c r="G30" s="6" t="n">
        <v>55</v>
      </c>
      <c r="H30" s="7" t="inlineStr">
        <is>
          <t>Normal</t>
        </is>
      </c>
    </row>
    <row r="31">
      <c r="A31" s="5" t="inlineStr">
        <is>
          <t>2026-02</t>
        </is>
      </c>
      <c r="B31" s="5" t="inlineStr">
        <is>
          <t>P-2101B</t>
        </is>
      </c>
      <c r="C31" s="5" t="inlineStr">
        <is>
          <t>CDU-2 Crude Charge Pump - B</t>
        </is>
      </c>
      <c r="D31" s="6" t="n">
        <v>2.6</v>
      </c>
      <c r="E31" s="6" t="n">
        <v>7.1</v>
      </c>
      <c r="F31" s="6" t="n">
        <v>11</v>
      </c>
      <c r="G31" s="6" t="n">
        <v>56</v>
      </c>
      <c r="H31" s="7" t="inlineStr">
        <is>
          <t>Normal</t>
        </is>
      </c>
    </row>
    <row r="32">
      <c r="A32" s="5" t="inlineStr">
        <is>
          <t>2026-03</t>
        </is>
      </c>
      <c r="B32" s="5" t="inlineStr">
        <is>
          <t>P-2101B</t>
        </is>
      </c>
      <c r="C32" s="5" t="inlineStr">
        <is>
          <t>CDU-2 Crude Charge Pump - B</t>
        </is>
      </c>
      <c r="D32" s="6" t="n">
        <v>2.4</v>
      </c>
      <c r="E32" s="6" t="n">
        <v>7.1</v>
      </c>
      <c r="F32" s="6" t="n">
        <v>11</v>
      </c>
      <c r="G32" s="6" t="n">
        <v>55</v>
      </c>
      <c r="H32" s="7" t="inlineStr">
        <is>
          <t>Normal</t>
        </is>
      </c>
    </row>
    <row r="33">
      <c r="A33" s="5" t="inlineStr">
        <is>
          <t>2026-04</t>
        </is>
      </c>
      <c r="B33" s="5" t="inlineStr">
        <is>
          <t>P-2101B</t>
        </is>
      </c>
      <c r="C33" s="5" t="inlineStr">
        <is>
          <t>CDU-2 Crude Charge Pump - B</t>
        </is>
      </c>
      <c r="D33" s="6" t="n">
        <v>2.6</v>
      </c>
      <c r="E33" s="6" t="n">
        <v>7.1</v>
      </c>
      <c r="F33" s="6" t="n">
        <v>11</v>
      </c>
      <c r="G33" s="6" t="n">
        <v>56</v>
      </c>
      <c r="H33" s="7" t="inlineStr">
        <is>
          <t>Normal</t>
        </is>
      </c>
    </row>
    <row r="34">
      <c r="A34" s="5" t="inlineStr">
        <is>
          <t>2026-05</t>
        </is>
      </c>
      <c r="B34" s="5" t="inlineStr">
        <is>
          <t>P-2101B</t>
        </is>
      </c>
      <c r="C34" s="5" t="inlineStr">
        <is>
          <t>CDU-2 Crude Charge Pump - B</t>
        </is>
      </c>
      <c r="D34" s="6" t="n">
        <v>2.7</v>
      </c>
      <c r="E34" s="6" t="n">
        <v>7.1</v>
      </c>
      <c r="F34" s="6" t="n">
        <v>11</v>
      </c>
      <c r="G34" s="6" t="n">
        <v>57</v>
      </c>
      <c r="H34" s="7" t="inlineStr">
        <is>
          <t>Normal</t>
        </is>
      </c>
    </row>
    <row r="35">
      <c r="A35" s="5" t="inlineStr">
        <is>
          <t>2026-06</t>
        </is>
      </c>
      <c r="B35" s="5" t="inlineStr">
        <is>
          <t>P-2101B</t>
        </is>
      </c>
      <c r="C35" s="5" t="inlineStr">
        <is>
          <t>CDU-2 Crude Charge Pump - B</t>
        </is>
      </c>
      <c r="D35" s="6" t="n">
        <v>2.5</v>
      </c>
      <c r="E35" s="6" t="n">
        <v>7.1</v>
      </c>
      <c r="F35" s="6" t="n">
        <v>11</v>
      </c>
      <c r="G35" s="6" t="n">
        <v>56</v>
      </c>
      <c r="H35" s="7" t="inlineStr">
        <is>
          <t>Normal</t>
        </is>
      </c>
    </row>
    <row r="36">
      <c r="A36" s="5" t="inlineStr">
        <is>
          <t>2026-07</t>
        </is>
      </c>
      <c r="B36" s="5" t="inlineStr">
        <is>
          <t>P-2101B</t>
        </is>
      </c>
      <c r="C36" s="5" t="inlineStr">
        <is>
          <t>CDU-2 Crude Charge Pump - B</t>
        </is>
      </c>
      <c r="D36" s="6" t="n">
        <v>2.6</v>
      </c>
      <c r="E36" s="6" t="n">
        <v>7.1</v>
      </c>
      <c r="F36" s="6" t="n">
        <v>11</v>
      </c>
      <c r="G36" s="6" t="n">
        <v>57</v>
      </c>
      <c r="H36" s="7" t="inlineStr">
        <is>
          <t>Normal</t>
        </is>
      </c>
    </row>
    <row r="37">
      <c r="A37" s="5" t="inlineStr">
        <is>
          <t>2026-08</t>
        </is>
      </c>
      <c r="B37" s="5" t="inlineStr">
        <is>
          <t>P-2101B</t>
        </is>
      </c>
      <c r="C37" s="5" t="inlineStr">
        <is>
          <t>CDU-2 Crude Charge Pump - B</t>
        </is>
      </c>
      <c r="D37" s="6" t="n">
        <v>2.5</v>
      </c>
      <c r="E37" s="6" t="n">
        <v>7.1</v>
      </c>
      <c r="F37" s="6" t="n">
        <v>11</v>
      </c>
      <c r="G37" s="6" t="n">
        <v>56</v>
      </c>
      <c r="H37" s="7" t="inlineStr">
        <is>
          <t>Normal</t>
        </is>
      </c>
    </row>
    <row r="38">
      <c r="A38" s="5" t="inlineStr">
        <is>
          <t>2026-01</t>
        </is>
      </c>
      <c r="B38" s="5" t="inlineStr">
        <is>
          <t>P-2107A</t>
        </is>
      </c>
      <c r="C38" s="5" t="inlineStr">
        <is>
          <t>CDU-2 Kerosene Product Pump - A</t>
        </is>
      </c>
      <c r="D38" s="6" t="n">
        <v>4</v>
      </c>
      <c r="E38" s="6" t="n">
        <v>7.1</v>
      </c>
      <c r="F38" s="6" t="n">
        <v>11</v>
      </c>
      <c r="G38" s="6" t="n">
        <v>66</v>
      </c>
      <c r="H38" s="7" t="inlineStr">
        <is>
          <t>Normal</t>
        </is>
      </c>
    </row>
    <row r="39">
      <c r="A39" s="5" t="inlineStr">
        <is>
          <t>2026-02</t>
        </is>
      </c>
      <c r="B39" s="5" t="inlineStr">
        <is>
          <t>P-2107A</t>
        </is>
      </c>
      <c r="C39" s="5" t="inlineStr">
        <is>
          <t>CDU-2 Kerosene Product Pump - A</t>
        </is>
      </c>
      <c r="D39" s="6" t="n">
        <v>4.2</v>
      </c>
      <c r="E39" s="6" t="n">
        <v>7.1</v>
      </c>
      <c r="F39" s="6" t="n">
        <v>11</v>
      </c>
      <c r="G39" s="6" t="n">
        <v>67</v>
      </c>
      <c r="H39" s="7" t="inlineStr">
        <is>
          <t>Normal</t>
        </is>
      </c>
    </row>
    <row r="40">
      <c r="A40" s="5" t="inlineStr">
        <is>
          <t>2026-03</t>
        </is>
      </c>
      <c r="B40" s="5" t="inlineStr">
        <is>
          <t>P-2107A</t>
        </is>
      </c>
      <c r="C40" s="5" t="inlineStr">
        <is>
          <t>CDU-2 Kerosene Product Pump - A</t>
        </is>
      </c>
      <c r="D40" s="6" t="n">
        <v>4.1</v>
      </c>
      <c r="E40" s="6" t="n">
        <v>7.1</v>
      </c>
      <c r="F40" s="6" t="n">
        <v>11</v>
      </c>
      <c r="G40" s="6" t="n">
        <v>66</v>
      </c>
      <c r="H40" s="7" t="inlineStr">
        <is>
          <t>Normal</t>
        </is>
      </c>
    </row>
    <row r="41">
      <c r="A41" s="5" t="inlineStr">
        <is>
          <t>2026-04</t>
        </is>
      </c>
      <c r="B41" s="5" t="inlineStr">
        <is>
          <t>P-2107A</t>
        </is>
      </c>
      <c r="C41" s="5" t="inlineStr">
        <is>
          <t>CDU-2 Kerosene Product Pump - A</t>
        </is>
      </c>
      <c r="D41" s="6" t="n">
        <v>4.3</v>
      </c>
      <c r="E41" s="6" t="n">
        <v>7.1</v>
      </c>
      <c r="F41" s="6" t="n">
        <v>11</v>
      </c>
      <c r="G41" s="6" t="n">
        <v>68</v>
      </c>
      <c r="H41" s="7" t="inlineStr">
        <is>
          <t>Normal</t>
        </is>
      </c>
    </row>
    <row r="42">
      <c r="A42" s="5" t="inlineStr">
        <is>
          <t>2026-05</t>
        </is>
      </c>
      <c r="B42" s="5" t="inlineStr">
        <is>
          <t>P-2107A</t>
        </is>
      </c>
      <c r="C42" s="5" t="inlineStr">
        <is>
          <t>CDU-2 Kerosene Product Pump - A</t>
        </is>
      </c>
      <c r="D42" s="6" t="n">
        <v>4.4</v>
      </c>
      <c r="E42" s="6" t="n">
        <v>7.1</v>
      </c>
      <c r="F42" s="6" t="n">
        <v>11</v>
      </c>
      <c r="G42" s="6" t="n">
        <v>69</v>
      </c>
      <c r="H42" s="7" t="inlineStr">
        <is>
          <t>Normal</t>
        </is>
      </c>
    </row>
    <row r="43">
      <c r="A43" s="5" t="inlineStr">
        <is>
          <t>2026-06</t>
        </is>
      </c>
      <c r="B43" s="5" t="inlineStr">
        <is>
          <t>P-2107A</t>
        </is>
      </c>
      <c r="C43" s="5" t="inlineStr">
        <is>
          <t>CDU-2 Kerosene Product Pump - A</t>
        </is>
      </c>
      <c r="D43" s="6" t="n">
        <v>4.2</v>
      </c>
      <c r="E43" s="6" t="n">
        <v>7.1</v>
      </c>
      <c r="F43" s="6" t="n">
        <v>11</v>
      </c>
      <c r="G43" s="6" t="n">
        <v>68</v>
      </c>
      <c r="H43" s="7" t="inlineStr">
        <is>
          <t>Normal</t>
        </is>
      </c>
    </row>
    <row r="44">
      <c r="A44" s="5" t="inlineStr">
        <is>
          <t>2026-07</t>
        </is>
      </c>
      <c r="B44" s="5" t="inlineStr">
        <is>
          <t>P-2107A</t>
        </is>
      </c>
      <c r="C44" s="5" t="inlineStr">
        <is>
          <t>CDU-2 Kerosene Product Pump - A</t>
        </is>
      </c>
      <c r="D44" s="6" t="n">
        <v>4.5</v>
      </c>
      <c r="E44" s="6" t="n">
        <v>7.1</v>
      </c>
      <c r="F44" s="6" t="n">
        <v>11</v>
      </c>
      <c r="G44" s="6" t="n">
        <v>70</v>
      </c>
      <c r="H44" s="7" t="inlineStr">
        <is>
          <t>Normal</t>
        </is>
      </c>
    </row>
    <row r="45">
      <c r="A45" s="5" t="inlineStr">
        <is>
          <t>2026-08</t>
        </is>
      </c>
      <c r="B45" s="5" t="inlineStr">
        <is>
          <t>P-2107A</t>
        </is>
      </c>
      <c r="C45" s="5" t="inlineStr">
        <is>
          <t>CDU-2 Kerosene Product Pump - A</t>
        </is>
      </c>
      <c r="D45" s="6" t="n">
        <v>4.6</v>
      </c>
      <c r="E45" s="6" t="n">
        <v>7.1</v>
      </c>
      <c r="F45" s="6" t="n">
        <v>11</v>
      </c>
      <c r="G45" s="6" t="n">
        <v>71</v>
      </c>
      <c r="H45" s="7" t="inlineStr">
        <is>
          <t>Above normal band - increase monitoring frequency</t>
        </is>
      </c>
    </row>
  </sheetData>
  <mergeCells count="3">
    <mergeCell ref="A3:H3"/>
    <mergeCell ref="A2:H2"/>
    <mergeCell ref="A1:H1"/>
  </mergeCells>
  <conditionalFormatting sqref="D6:D45">
    <cfRule type="cellIs" priority="1" operator="greaterThanOrEqual" dxfId="0">
      <formula>7.1</formula>
    </cfRule>
    <cfRule type="cellIs" priority="2" operator="between" dxfId="1">
      <formula>4.5</formula>
      <formula>7.1</formula>
    </cfRule>
  </conditionalFormatting>
  <conditionalFormatting sqref="G6:G45">
    <cfRule type="cellIs" priority="3" operator="greaterThanOrEqual" dxfId="0">
      <formula>85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MRPL  -  P-2104A/B Vibration Trend 2026</t>
        </is>
      </c>
    </row>
    <row r="2">
      <c r="A2" s="2" t="inlineStr">
        <is>
          <t>Mangalore Refinery and Petrochemicals Limited | Katipalla, Mangaluru, Karnataka | Crude Distillation Unit - 2   |   Document: VIB-CDU2-2026</t>
        </is>
      </c>
    </row>
    <row r="3">
      <c r="A3" s="3" t="inlineStr">
        <is>
          <t>CONFIDENTIAL - INTERNAL USE ONLY  -  SYNTHETIC DOCUMENT - generated for SIH26117 prototype evaluation. Not an actual MRPL record.</t>
        </is>
      </c>
    </row>
    <row r="5" ht="30" customHeight="1">
      <c r="A5" s="4" t="inlineStr">
        <is>
          <t>Month</t>
        </is>
      </c>
      <c r="B5" s="4" t="inlineStr">
        <is>
          <t>P-2104B (mm/s)</t>
        </is>
      </c>
      <c r="C5" s="4" t="inlineStr">
        <is>
          <t>P-2104A (mm/s)</t>
        </is>
      </c>
      <c r="D5" s="4" t="inlineStr">
        <is>
          <t>Alert Limit</t>
        </is>
      </c>
      <c r="E5" s="4" t="inlineStr">
        <is>
          <t>Trip Limit</t>
        </is>
      </c>
    </row>
    <row r="6">
      <c r="A6" s="8" t="inlineStr">
        <is>
          <t>2026-01</t>
        </is>
      </c>
      <c r="B6" s="8" t="n">
        <v>3.9</v>
      </c>
      <c r="C6" s="8" t="n">
        <v>2.8</v>
      </c>
      <c r="D6" s="8" t="n">
        <v>7.1</v>
      </c>
      <c r="E6" s="8" t="n">
        <v>11</v>
      </c>
    </row>
    <row r="7">
      <c r="A7" s="8" t="inlineStr">
        <is>
          <t>2026-02</t>
        </is>
      </c>
      <c r="B7" s="8" t="n">
        <v>4</v>
      </c>
      <c r="C7" s="8" t="n">
        <v>2.7</v>
      </c>
      <c r="D7" s="8" t="n">
        <v>7.1</v>
      </c>
      <c r="E7" s="8" t="n">
        <v>11</v>
      </c>
    </row>
    <row r="8">
      <c r="A8" s="8" t="inlineStr">
        <is>
          <t>2026-03</t>
        </is>
      </c>
      <c r="B8" s="8" t="n">
        <v>4.1</v>
      </c>
      <c r="C8" s="8" t="n">
        <v>2.9</v>
      </c>
      <c r="D8" s="8" t="n">
        <v>7.1</v>
      </c>
      <c r="E8" s="8" t="n">
        <v>11</v>
      </c>
    </row>
    <row r="9">
      <c r="A9" s="8" t="inlineStr">
        <is>
          <t>2026-04</t>
        </is>
      </c>
      <c r="B9" s="8" t="n">
        <v>4.6</v>
      </c>
      <c r="C9" s="8" t="n">
        <v>2.8</v>
      </c>
      <c r="D9" s="8" t="n">
        <v>7.1</v>
      </c>
      <c r="E9" s="8" t="n">
        <v>11</v>
      </c>
    </row>
    <row r="10">
      <c r="A10" s="8" t="inlineStr">
        <is>
          <t>2026-05</t>
        </is>
      </c>
      <c r="B10" s="8" t="n">
        <v>5.2</v>
      </c>
      <c r="C10" s="8" t="n">
        <v>3</v>
      </c>
      <c r="D10" s="8" t="n">
        <v>7.1</v>
      </c>
      <c r="E10" s="8" t="n">
        <v>11</v>
      </c>
    </row>
    <row r="11">
      <c r="A11" s="8" t="inlineStr">
        <is>
          <t>2026-06</t>
        </is>
      </c>
      <c r="B11" s="8" t="n">
        <v>6.4</v>
      </c>
      <c r="C11" s="8" t="n">
        <v>2.9</v>
      </c>
      <c r="D11" s="8" t="n">
        <v>7.1</v>
      </c>
      <c r="E11" s="8" t="n">
        <v>11</v>
      </c>
    </row>
    <row r="12">
      <c r="A12" s="8" t="inlineStr">
        <is>
          <t>2026-07</t>
        </is>
      </c>
      <c r="B12" s="8" t="n">
        <v>7.8</v>
      </c>
      <c r="C12" s="8" t="n">
        <v>3.1</v>
      </c>
      <c r="D12" s="8" t="n">
        <v>7.1</v>
      </c>
      <c r="E12" s="8" t="n">
        <v>11</v>
      </c>
    </row>
    <row r="13">
      <c r="A13" s="8" t="inlineStr">
        <is>
          <t>2026-08</t>
        </is>
      </c>
      <c r="B13" s="8" t="n">
        <v>9.6</v>
      </c>
      <c r="C13" s="8" t="n">
        <v>3</v>
      </c>
      <c r="D13" s="8" t="n">
        <v>7.1</v>
      </c>
      <c r="E13" s="8" t="n">
        <v>11</v>
      </c>
    </row>
  </sheetData>
  <mergeCells count="3">
    <mergeCell ref="A2:E2"/>
    <mergeCell ref="A1:E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60" customWidth="1" min="3" max="3"/>
  </cols>
  <sheetData>
    <row r="1">
      <c r="A1" s="1" t="inlineStr">
        <is>
          <t>MRPL  -  Condition Monitoring Limits</t>
        </is>
      </c>
    </row>
    <row r="2">
      <c r="A2" s="2" t="inlineStr">
        <is>
          <t>Mangalore Refinery and Petrochemicals Limited | Katipalla, Mangaluru, Karnataka | Crude Distillation Unit - 2   |   Document: VIB-CDU2-2026</t>
        </is>
      </c>
    </row>
    <row r="3">
      <c r="A3" s="3" t="inlineStr">
        <is>
          <t>CONFIDENTIAL - INTERNAL USE ONLY  -  SYNTHETIC DOCUMENT - generated for SIH26117 prototype evaluation. Not an actual MRPL record.</t>
        </is>
      </c>
    </row>
    <row r="5" ht="30" customHeight="1">
      <c r="A5" s="4" t="inlineStr">
        <is>
          <t>Parameter</t>
        </is>
      </c>
      <c r="B5" s="4" t="inlineStr">
        <is>
          <t>Value</t>
        </is>
      </c>
      <c r="C5" s="4" t="inlineStr">
        <is>
          <t>Basis</t>
        </is>
      </c>
    </row>
    <row r="6">
      <c r="A6" s="5" t="inlineStr">
        <is>
          <t>Normal maximum vibration (mm/s RMS)</t>
        </is>
      </c>
      <c r="B6" s="5" t="n">
        <v>4.5</v>
      </c>
      <c r="C6" s="5" t="inlineStr">
        <is>
          <t>ISO 10816-3, Group 1, rigid mounting</t>
        </is>
      </c>
    </row>
    <row r="7">
      <c r="A7" s="5" t="inlineStr">
        <is>
          <t>Alert vibration (mm/s RMS)</t>
        </is>
      </c>
      <c r="B7" s="5" t="n">
        <v>7.1</v>
      </c>
      <c r="C7" s="5" t="inlineStr">
        <is>
          <t>ISO 10816-3, Group 1, rigid mounting | ENG-STD-SUMM-119 clause 5.1</t>
        </is>
      </c>
    </row>
    <row r="8">
      <c r="A8" s="5" t="inlineStr">
        <is>
          <t>Trip vibration (mm/s RMS)</t>
        </is>
      </c>
      <c r="B8" s="5" t="n">
        <v>11</v>
      </c>
      <c r="C8" s="5" t="inlineStr">
        <is>
          <t>ISO 10816-3, Group 1, rigid mounting | ENG-STD-SUMM-119 clause 5.1</t>
        </is>
      </c>
    </row>
    <row r="9">
      <c r="A9" s="5" t="inlineStr">
        <is>
          <t>Bearing temperature alarm (degC)</t>
        </is>
      </c>
      <c r="B9" s="5" t="n">
        <v>85</v>
      </c>
      <c r="C9" s="5" t="inlineStr">
        <is>
          <t>ENG-STD-SUMM-119 clause 5.2</t>
        </is>
      </c>
    </row>
    <row r="10">
      <c r="A10" s="5" t="inlineStr">
        <is>
          <t>Bearing temperature trip (degC)</t>
        </is>
      </c>
      <c r="B10" s="5" t="n">
        <v>95</v>
      </c>
      <c r="C10" s="5" t="inlineStr">
        <is>
          <t>ENG-STD-SUMM-119 clause 5.2</t>
        </is>
      </c>
    </row>
    <row r="11">
      <c r="A11" s="5" t="inlineStr">
        <is>
          <t>Escalation rule</t>
        </is>
      </c>
      <c r="B11" s="5" t="inlineStr">
        <is>
          <t>Work order within 24 hours of an alert reading</t>
        </is>
      </c>
      <c r="C11" s="5" t="inlineStr">
        <is>
          <t>ENG-STD-SUMM-119 clause 5.1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2026-09-08T05:12:12Z</dcterms:created>
  <dcterms:modified xmlns:dcterms="http://purl.org/dc/terms/" xmlns:xsi="http://www.w3.org/2001/XMLSchema-instance" xsi:type="dcterms:W3CDTF">2026-09-08T05:12:12Z</dcterms:modified>
</cp:coreProperties>
</file>