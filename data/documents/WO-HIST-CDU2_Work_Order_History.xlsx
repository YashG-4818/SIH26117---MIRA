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 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B3D5C"/>
      <sz val="12"/>
    </font>
    <font>
      <color rgb="00555555"/>
      <sz val="8"/>
    </font>
    <font>
      <i val="1"/>
      <color rgb="008A1C1C"/>
      <sz val="7"/>
    </font>
    <font>
      <b val="1"/>
      <color rgb="000B3D5C"/>
      <sz val="9"/>
    </font>
    <font>
      <sz val="9"/>
    </font>
    <font>
      <b val="1"/>
      <sz val="9"/>
    </font>
  </fonts>
  <fills count="4">
    <fill>
      <patternFill/>
    </fill>
    <fill>
      <patternFill patternType="gray125"/>
    </fill>
    <fill>
      <patternFill patternType="solid">
        <fgColor rgb="00DCE6EF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/>
    </xf>
    <xf numFmtId="3" fontId="5" fillId="0" borderId="1" pivotButton="0" quotePrefix="0" xfId="0"/>
    <xf numFmtId="0" fontId="5" fillId="3" borderId="1" pivotButton="0" quotePrefix="0" xfId="0"/>
    <xf numFmtId="0" fontId="5" fillId="3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/>
    </xf>
    <xf numFmtId="3" fontId="5" fillId="3" borderId="1" pivotButton="0" quotePrefix="0" xfId="0"/>
    <xf numFmtId="0" fontId="6" fillId="0" borderId="0" pivotButton="0" quotePrefix="0" xfId="0"/>
    <xf numFmtId="3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2" customWidth="1" min="3" max="3"/>
    <col width="13" customWidth="1" min="4" max="4"/>
    <col width="62" customWidth="1" min="5" max="5"/>
    <col width="13" customWidth="1" min="6" max="6"/>
    <col width="12" customWidth="1" min="7" max="7"/>
    <col width="14" customWidth="1" min="8" max="8"/>
    <col width="12" customWidth="1" min="9" max="9"/>
  </cols>
  <sheetData>
    <row r="1">
      <c r="A1" s="1" t="inlineStr">
        <is>
          <t>MRPL  -  CDU-2 Work Order History 2025-2026</t>
        </is>
      </c>
    </row>
    <row r="2">
      <c r="A2" s="2" t="inlineStr">
        <is>
          <t>Mangalore Refinery and Petrochemicals Limited | Katipalla, Mangaluru, Karnataka | Crude Distillation Unit - 2   |   Document: WO-HIST-CDU2</t>
        </is>
      </c>
    </row>
    <row r="3">
      <c r="A3" s="3" t="inlineStr">
        <is>
          <t>CONFIDENTIAL - INTERNAL USE ONLY  -  SYNTHETIC DOCUMENT - generated for SIH26117 prototype evaluation. Not an actual MRPL record.</t>
        </is>
      </c>
    </row>
    <row r="5" ht="30" customHeight="1">
      <c r="A5" s="4" t="inlineStr">
        <is>
          <t>Work Order</t>
        </is>
      </c>
      <c r="B5" s="4" t="inlineStr">
        <is>
          <t>Equipment Tag</t>
        </is>
      </c>
      <c r="C5" s="4" t="inlineStr">
        <is>
          <t>Date</t>
        </is>
      </c>
      <c r="D5" s="4" t="inlineStr">
        <is>
          <t>Type</t>
        </is>
      </c>
      <c r="E5" s="4" t="inlineStr">
        <is>
          <t>Description</t>
        </is>
      </c>
      <c r="F5" s="4" t="inlineStr">
        <is>
          <t>Downtime (hr)</t>
        </is>
      </c>
      <c r="G5" s="4" t="inlineStr">
        <is>
          <t>Labour (hr)</t>
        </is>
      </c>
      <c r="H5" s="4" t="inlineStr">
        <is>
          <t>Cost (INR)</t>
        </is>
      </c>
      <c r="I5" s="4" t="inlineStr">
        <is>
          <t>Status</t>
        </is>
      </c>
    </row>
    <row r="6">
      <c r="A6" s="5" t="inlineStr">
        <is>
          <t>WO-25-11420</t>
        </is>
      </c>
      <c r="B6" s="5" t="inlineStr">
        <is>
          <t>P-2104B</t>
        </is>
      </c>
      <c r="C6" s="5" t="inlineStr">
        <is>
          <t>2025-04-18</t>
        </is>
      </c>
      <c r="D6" s="5" t="inlineStr">
        <is>
          <t>Preventive</t>
        </is>
      </c>
      <c r="E6" s="6" t="inlineStr">
        <is>
          <t>Annual overhaul: bearings replaced, seal refurbished, alignment done</t>
        </is>
      </c>
      <c r="F6" s="7" t="n">
        <v>36</v>
      </c>
      <c r="G6" s="7" t="n">
        <v>96</v>
      </c>
      <c r="H6" s="8" t="n">
        <v>684000</v>
      </c>
      <c r="I6" s="5" t="inlineStr">
        <is>
          <t>Closed</t>
        </is>
      </c>
    </row>
    <row r="7">
      <c r="A7" s="5" t="inlineStr">
        <is>
          <t>WO-25-12877</t>
        </is>
      </c>
      <c r="B7" s="5" t="inlineStr">
        <is>
          <t>P-2104A</t>
        </is>
      </c>
      <c r="C7" s="5" t="inlineStr">
        <is>
          <t>2025-06-02</t>
        </is>
      </c>
      <c r="D7" s="5" t="inlineStr">
        <is>
          <t>Preventive</t>
        </is>
      </c>
      <c r="E7" s="6" t="inlineStr">
        <is>
          <t>Annual overhaul: bearings replaced, coupling element replaced</t>
        </is>
      </c>
      <c r="F7" s="7" t="n">
        <v>32</v>
      </c>
      <c r="G7" s="7" t="n">
        <v>88</v>
      </c>
      <c r="H7" s="8" t="n">
        <v>612000</v>
      </c>
      <c r="I7" s="5" t="inlineStr">
        <is>
          <t>Closed</t>
        </is>
      </c>
    </row>
    <row r="8">
      <c r="A8" s="5" t="inlineStr">
        <is>
          <t>WO-25-14903</t>
        </is>
      </c>
      <c r="B8" s="5" t="inlineStr">
        <is>
          <t>P-2104B</t>
        </is>
      </c>
      <c r="C8" s="5" t="inlineStr">
        <is>
          <t>2025-09-11</t>
        </is>
      </c>
      <c r="D8" s="5" t="inlineStr">
        <is>
          <t>Corrective</t>
        </is>
      </c>
      <c r="E8" s="6" t="inlineStr">
        <is>
          <t>Seal weeping observed, Plan 52 reservoir topped up, seal faces lapped</t>
        </is>
      </c>
      <c r="F8" s="7" t="n">
        <v>8</v>
      </c>
      <c r="G8" s="7" t="n">
        <v>24</v>
      </c>
      <c r="H8" s="8" t="n">
        <v>96000</v>
      </c>
      <c r="I8" s="5" t="inlineStr">
        <is>
          <t>Closed</t>
        </is>
      </c>
    </row>
    <row r="9">
      <c r="A9" s="5" t="inlineStr">
        <is>
          <t>WO-25-16044</t>
        </is>
      </c>
      <c r="B9" s="5" t="inlineStr">
        <is>
          <t>E-2107</t>
        </is>
      </c>
      <c r="C9" s="5" t="inlineStr">
        <is>
          <t>2025-11-20</t>
        </is>
      </c>
      <c r="D9" s="5" t="inlineStr">
        <is>
          <t>Preventive</t>
        </is>
      </c>
      <c r="E9" s="6" t="inlineStr">
        <is>
          <t>Shell side cleaning during mini shutdown</t>
        </is>
      </c>
      <c r="F9" s="7" t="n">
        <v>48</v>
      </c>
      <c r="G9" s="7" t="n">
        <v>160</v>
      </c>
      <c r="H9" s="8" t="n">
        <v>940000</v>
      </c>
      <c r="I9" s="5" t="inlineStr">
        <is>
          <t>Closed</t>
        </is>
      </c>
    </row>
    <row r="10">
      <c r="A10" s="5" t="inlineStr">
        <is>
          <t>WO-26-10233</t>
        </is>
      </c>
      <c r="B10" s="5" t="inlineStr">
        <is>
          <t>P-2101A</t>
        </is>
      </c>
      <c r="C10" s="5" t="inlineStr">
        <is>
          <t>2026-02-14</t>
        </is>
      </c>
      <c r="D10" s="5" t="inlineStr">
        <is>
          <t>Corrective</t>
        </is>
      </c>
      <c r="E10" s="6" t="inlineStr">
        <is>
          <t>High bearing temperature, oil changed and cooler cleaned</t>
        </is>
      </c>
      <c r="F10" s="7" t="n">
        <v>4</v>
      </c>
      <c r="G10" s="7" t="n">
        <v>12</v>
      </c>
      <c r="H10" s="8" t="n">
        <v>42000</v>
      </c>
      <c r="I10" s="5" t="inlineStr">
        <is>
          <t>Closed</t>
        </is>
      </c>
    </row>
    <row r="11">
      <c r="A11" s="5" t="inlineStr">
        <is>
          <t>WO-26-11876</t>
        </is>
      </c>
      <c r="B11" s="5" t="inlineStr">
        <is>
          <t>P-2104B</t>
        </is>
      </c>
      <c r="C11" s="5" t="inlineStr">
        <is>
          <t>2026-05-06</t>
        </is>
      </c>
      <c r="D11" s="5" t="inlineStr">
        <is>
          <t>Predictive</t>
        </is>
      </c>
      <c r="E11" s="6" t="inlineStr">
        <is>
          <t>Vibration analysis requested by reliability; report notes 1x running speed dominant, misalignment suspected. No corrective work executed.</t>
        </is>
      </c>
      <c r="F11" s="7" t="n">
        <v>0</v>
      </c>
      <c r="G11" s="7" t="n">
        <v>6</v>
      </c>
      <c r="H11" s="8" t="n">
        <v>18000</v>
      </c>
      <c r="I11" s="5" t="inlineStr">
        <is>
          <t>Closed</t>
        </is>
      </c>
    </row>
    <row r="12">
      <c r="A12" s="5" t="inlineStr">
        <is>
          <t>WO-26-13001</t>
        </is>
      </c>
      <c r="B12" s="5" t="inlineStr">
        <is>
          <t>PSV-2141</t>
        </is>
      </c>
      <c r="C12" s="5" t="inlineStr">
        <is>
          <t>2026-06-15</t>
        </is>
      </c>
      <c r="D12" s="5" t="inlineStr">
        <is>
          <t>Statutory</t>
        </is>
      </c>
      <c r="E12" s="6" t="inlineStr">
        <is>
          <t>PSV pop test and recertification; passed at set pressure 26.4 kg/cm2g</t>
        </is>
      </c>
      <c r="F12" s="7" t="n">
        <v>0</v>
      </c>
      <c r="G12" s="7" t="n">
        <v>8</v>
      </c>
      <c r="H12" s="8" t="n">
        <v>54000</v>
      </c>
      <c r="I12" s="5" t="inlineStr">
        <is>
          <t>Closed</t>
        </is>
      </c>
    </row>
    <row r="13">
      <c r="A13" s="5" t="inlineStr">
        <is>
          <t>WO-26-14550</t>
        </is>
      </c>
      <c r="B13" s="5" t="inlineStr">
        <is>
          <t>P-2107A</t>
        </is>
      </c>
      <c r="C13" s="5" t="inlineStr">
        <is>
          <t>2026-07-22</t>
        </is>
      </c>
      <c r="D13" s="5" t="inlineStr">
        <is>
          <t>Corrective</t>
        </is>
      </c>
      <c r="E13" s="6" t="inlineStr">
        <is>
          <t>Gland leak arrested, packing replaced</t>
        </is>
      </c>
      <c r="F13" s="7" t="n">
        <v>6</v>
      </c>
      <c r="G13" s="7" t="n">
        <v>16</v>
      </c>
      <c r="H13" s="8" t="n">
        <v>38000</v>
      </c>
      <c r="I13" s="5" t="inlineStr">
        <is>
          <t>Closed</t>
        </is>
      </c>
    </row>
    <row r="14">
      <c r="A14" s="9" t="inlineStr">
        <is>
          <t>WO-26-15118</t>
        </is>
      </c>
      <c r="B14" s="9" t="inlineStr">
        <is>
          <t>P-2104B</t>
        </is>
      </c>
      <c r="C14" s="9" t="inlineStr">
        <is>
          <t>2026-08-29</t>
        </is>
      </c>
      <c r="D14" s="9" t="inlineStr">
        <is>
          <t>Breakdown</t>
        </is>
      </c>
      <c r="E14" s="10" t="inlineStr">
        <is>
          <t>Emergency: inboard mechanical seal failure, RCO release. Pump isolated, changeover to P-2104A. Seal kit SK-682-2104 consumed from stock.</t>
        </is>
      </c>
      <c r="F14" s="11" t="n">
        <v>14.5</v>
      </c>
      <c r="G14" s="11" t="n">
        <v>72</v>
      </c>
      <c r="H14" s="12" t="n">
        <v>1246000</v>
      </c>
      <c r="I14" s="9" t="inlineStr">
        <is>
          <t>Closed</t>
        </is>
      </c>
    </row>
    <row r="15">
      <c r="A15" s="5" t="inlineStr">
        <is>
          <t>WO-26-15203</t>
        </is>
      </c>
      <c r="B15" s="5" t="inlineStr">
        <is>
          <t>P-2104B</t>
        </is>
      </c>
      <c r="C15" s="5" t="inlineStr">
        <is>
          <t>2026-09-02</t>
        </is>
      </c>
      <c r="D15" s="5" t="inlineStr">
        <is>
          <t>Corrective</t>
        </is>
      </c>
      <c r="E15" s="6" t="inlineStr">
        <is>
          <t>Laser alignment correction and baseline vibration signature after seal replacement</t>
        </is>
      </c>
      <c r="F15" s="7" t="n">
        <v>0</v>
      </c>
      <c r="G15" s="7" t="n">
        <v>18</v>
      </c>
      <c r="H15" s="8" t="n">
        <v>74000</v>
      </c>
      <c r="I15" s="5" t="inlineStr">
        <is>
          <t>In Progress</t>
        </is>
      </c>
    </row>
    <row r="16">
      <c r="A16" s="5" t="inlineStr">
        <is>
          <t>WO-26-15240</t>
        </is>
      </c>
      <c r="B16" s="5" t="inlineStr">
        <is>
          <t>P-2104A</t>
        </is>
      </c>
      <c r="C16" s="5" t="inlineStr">
        <is>
          <t>2026-09-02</t>
        </is>
      </c>
      <c r="D16" s="5" t="inlineStr">
        <is>
          <t>Predictive</t>
        </is>
      </c>
      <c r="E16" s="6" t="inlineStr">
        <is>
          <t>Baseline vibration signature captured post changeover, pump now lead</t>
        </is>
      </c>
      <c r="F16" s="7" t="n">
        <v>0</v>
      </c>
      <c r="G16" s="7" t="n">
        <v>4</v>
      </c>
      <c r="H16" s="8" t="n">
        <v>12000</v>
      </c>
      <c r="I16" s="5" t="inlineStr">
        <is>
          <t>Closed</t>
        </is>
      </c>
    </row>
    <row r="18">
      <c r="E18" s="13" t="inlineStr">
        <is>
          <t>TOTAL</t>
        </is>
      </c>
      <c r="F18" s="13">
        <f>SUM(F6:F16)</f>
        <v/>
      </c>
      <c r="G18" s="13">
        <f>SUM(G6:G16)</f>
        <v/>
      </c>
      <c r="H18" s="14">
        <f>SUM(H6:H16)</f>
        <v/>
      </c>
    </row>
    <row r="19">
      <c r="E19" s="13" t="inlineStr">
        <is>
          <t>TOTAL for P-2104B only</t>
        </is>
      </c>
      <c r="H19" s="14">
        <f>SUMIF(B6:B16,"P-2104B",H6:H16)</f>
        <v/>
      </c>
    </row>
  </sheetData>
  <mergeCells count="3">
    <mergeCell ref="A1:I1"/>
    <mergeCell ref="A3:I3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2026-09-08T05:12:13Z</dcterms:created>
  <dcterms:modified xmlns:dcterms="http://purl.org/dc/terms/" xmlns:xsi="http://www.w3.org/2001/XMLSchema-instance" xsi:type="dcterms:W3CDTF">2026-09-08T05:12:13Z</dcterms:modified>
</cp:coreProperties>
</file>